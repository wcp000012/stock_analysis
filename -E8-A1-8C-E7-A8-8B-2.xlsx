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鼎融\旅遊\2025.10 紐西蘭\"/>
    </mc:Choice>
  </mc:AlternateContent>
  <xr:revisionPtr revIDLastSave="0" documentId="8_{FDE3D2E0-8079-442C-8D61-923DE3792C53}" xr6:coauthVersionLast="47" xr6:coauthVersionMax="47" xr10:uidLastSave="{00000000-0000-0000-0000-000000000000}"/>
  <bookViews>
    <workbookView xWindow="-110" yWindow="-110" windowWidth="19420" windowHeight="10300" xr2:uid="{77D6C4CD-4604-4C73-941D-36355FD05C5F}"/>
  </bookViews>
  <sheets>
    <sheet name="行程" sheetId="1" r:id="rId1"/>
    <sheet name="工作表1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F11" i="5"/>
  <c r="F10" i="5"/>
  <c r="F9" i="5"/>
  <c r="F8" i="5"/>
  <c r="F7" i="5"/>
  <c r="F6" i="5"/>
  <c r="F5" i="5"/>
  <c r="F4" i="5"/>
</calcChain>
</file>

<file path=xl/sharedStrings.xml><?xml version="1.0" encoding="utf-8"?>
<sst xmlns="http://schemas.openxmlformats.org/spreadsheetml/2006/main" count="129" uniqueCount="97">
  <si>
    <t>大採購必去PAK’nSAVE，日常補貨NEW WORLD、Woolworths，小城鎮或追求方便FreshChoice優先於Four Square</t>
    <phoneticPr fontId="1" type="noConversion"/>
  </si>
  <si>
    <t>Date</t>
    <phoneticPr fontId="1" type="noConversion"/>
  </si>
  <si>
    <t>Time</t>
    <phoneticPr fontId="1" type="noConversion"/>
  </si>
  <si>
    <t>Location</t>
    <phoneticPr fontId="1" type="noConversion"/>
  </si>
  <si>
    <t>Journey</t>
    <phoneticPr fontId="1" type="noConversion"/>
  </si>
  <si>
    <t>breakfast</t>
    <phoneticPr fontId="1" type="noConversion"/>
  </si>
  <si>
    <t>Lunch</t>
    <phoneticPr fontId="1" type="noConversion"/>
  </si>
  <si>
    <t>Dinner</t>
    <phoneticPr fontId="1" type="noConversion"/>
  </si>
  <si>
    <t>D1</t>
    <phoneticPr fontId="1" type="noConversion"/>
  </si>
  <si>
    <t>TPE</t>
    <phoneticPr fontId="1" type="noConversion"/>
  </si>
  <si>
    <t>D2</t>
    <phoneticPr fontId="1" type="noConversion"/>
  </si>
  <si>
    <t>AKL</t>
    <phoneticPr fontId="1" type="noConversion"/>
  </si>
  <si>
    <t>Chrischurch</t>
    <phoneticPr fontId="1" type="noConversion"/>
  </si>
  <si>
    <t>pm
    Pick up rental car
night
    Kmart Riccarton
    sunson asian food market</t>
    <phoneticPr fontId="1" type="noConversion"/>
  </si>
  <si>
    <r>
      <t>Korea House (</t>
    </r>
    <r>
      <rPr>
        <sz val="12"/>
        <color theme="1"/>
        <rFont val="Malgun Gothic"/>
        <family val="2"/>
        <charset val="129"/>
      </rPr>
      <t>한국관</t>
    </r>
    <r>
      <rPr>
        <sz val="12"/>
        <color theme="1"/>
        <rFont val="新細明體"/>
        <family val="2"/>
        <charset val="136"/>
        <scheme val="minor"/>
      </rPr>
      <t>)
At Tonys Japanese Restaurant
Dux Dine</t>
    </r>
    <phoneticPr fontId="1" type="noConversion"/>
  </si>
  <si>
    <t>D3</t>
    <phoneticPr fontId="1" type="noConversion"/>
  </si>
  <si>
    <t>Tekapo</t>
    <phoneticPr fontId="1" type="noConversion"/>
  </si>
  <si>
    <r>
      <t xml:space="preserve">am
chrischurch outlet: Dress Smart
pm
</t>
    </r>
    <r>
      <rPr>
        <b/>
        <sz val="12"/>
        <color rgb="FF0000FF"/>
        <rFont val="新細明體"/>
        <family val="1"/>
        <charset val="136"/>
        <scheme val="minor"/>
      </rPr>
      <t xml:space="preserve">Chrischurch -&gt; Tekapo (~3hr) 
</t>
    </r>
    <r>
      <rPr>
        <sz val="12"/>
        <color theme="1"/>
        <rFont val="新細明體"/>
        <family val="1"/>
        <charset val="136"/>
        <scheme val="minor"/>
      </rPr>
      <t>Alpine Alpacas Fairlie (羊駝農場)</t>
    </r>
    <r>
      <rPr>
        <b/>
        <sz val="12"/>
        <color rgb="FF0000FF"/>
        <rFont val="新細明體"/>
        <family val="1"/>
        <charset val="136"/>
        <scheme val="minor"/>
      </rPr>
      <t xml:space="preserve">
</t>
    </r>
    <r>
      <rPr>
        <sz val="12"/>
        <color theme="1"/>
        <rFont val="新細明體"/>
        <family val="1"/>
        <charset val="136"/>
        <scheme val="minor"/>
      </rPr>
      <t>playground</t>
    </r>
    <r>
      <rPr>
        <b/>
        <sz val="12"/>
        <color rgb="FF0000FF"/>
        <rFont val="新細明體"/>
        <family val="1"/>
        <charset val="136"/>
        <scheme val="minor"/>
      </rPr>
      <t xml:space="preserve">
</t>
    </r>
    <phoneticPr fontId="1" type="noConversion"/>
  </si>
  <si>
    <t>super market</t>
    <phoneticPr fontId="1" type="noConversion"/>
  </si>
  <si>
    <t xml:space="preserve">The running duck (?)
Barker's Foodstore &amp; Eatery (?)
/ 
Fairlie Bakehouse鮭魚派(Fairlie)
</t>
    <phoneticPr fontId="1" type="noConversion"/>
  </si>
  <si>
    <t>D4</t>
    <phoneticPr fontId="1" type="noConversion"/>
  </si>
  <si>
    <t>am
Mt. John Observatory (約翰山天文台) / Astro Café
pm
Church of the Good Shepherd (善良牧羊人教堂)
    Lake Tekapo Walkway</t>
    <phoneticPr fontId="1" type="noConversion"/>
  </si>
  <si>
    <t>Astro café
9:00-15:00</t>
    <phoneticPr fontId="1" type="noConversion"/>
  </si>
  <si>
    <t>Kohan Restaurant
11:30-14:00; 17:30-20:00</t>
    <phoneticPr fontId="1" type="noConversion"/>
  </si>
  <si>
    <r>
      <rPr>
        <b/>
        <sz val="12"/>
        <color theme="1"/>
        <rFont val="新細明體"/>
        <family val="1"/>
        <charset val="136"/>
        <scheme val="minor"/>
      </rPr>
      <t>The Better Batter NZ</t>
    </r>
    <r>
      <rPr>
        <sz val="12"/>
        <color theme="1"/>
        <rFont val="新細明體"/>
        <family val="2"/>
        <charset val="136"/>
        <scheme val="minor"/>
      </rPr>
      <t xml:space="preserve">
12:30-14:30; 17:00-20:0
</t>
    </r>
    <r>
      <rPr>
        <sz val="12"/>
        <color rgb="FF0000FF"/>
        <rFont val="新細明體"/>
        <family val="1"/>
        <charset val="136"/>
        <scheme val="minor"/>
      </rPr>
      <t>super market</t>
    </r>
    <phoneticPr fontId="1" type="noConversion"/>
  </si>
  <si>
    <t>D5</t>
    <phoneticPr fontId="1" type="noConversion"/>
  </si>
  <si>
    <t>Mt.Cook</t>
    <phoneticPr fontId="1" type="noConversion"/>
  </si>
  <si>
    <r>
      <t xml:space="preserve">am
</t>
    </r>
    <r>
      <rPr>
        <b/>
        <sz val="12"/>
        <color rgb="FF0000FF"/>
        <rFont val="新細明體"/>
        <family val="1"/>
        <charset val="136"/>
        <scheme val="minor"/>
      </rPr>
      <t xml:space="preserve">Tekapo -&gt; Mt.Cook (~1hr)
</t>
    </r>
    <r>
      <rPr>
        <sz val="12"/>
        <color theme="1"/>
        <rFont val="新細明體"/>
        <family val="1"/>
        <charset val="136"/>
        <scheme val="minor"/>
      </rPr>
      <t>Four Square Twizel</t>
    </r>
    <r>
      <rPr>
        <sz val="12"/>
        <color theme="1"/>
        <rFont val="新細明體"/>
        <family val="2"/>
        <charset val="136"/>
        <scheme val="minor"/>
      </rPr>
      <t xml:space="preserve">
Twizel resupply for</t>
    </r>
    <r>
      <rPr>
        <b/>
        <sz val="12"/>
        <color theme="1"/>
        <rFont val="新細明體"/>
        <family val="1"/>
        <charset val="136"/>
        <scheme val="minor"/>
      </rPr>
      <t xml:space="preserve"> 2</t>
    </r>
    <r>
      <rPr>
        <sz val="12"/>
        <color theme="1"/>
        <rFont val="新細明體"/>
        <family val="2"/>
        <charset val="136"/>
        <scheme val="minor"/>
      </rPr>
      <t xml:space="preserve"> days
pm
Kea point
Tasman River
Hooker Valley Track: 3 hr</t>
    </r>
    <phoneticPr fontId="1" type="noConversion"/>
  </si>
  <si>
    <t>Mount Cook Alpine Salmon
9:30-17:00</t>
    <phoneticPr fontId="1" type="noConversion"/>
  </si>
  <si>
    <r>
      <rPr>
        <b/>
        <sz val="12"/>
        <color theme="1"/>
        <rFont val="新細明體"/>
        <family val="1"/>
        <charset val="136"/>
        <scheme val="minor"/>
      </rPr>
      <t>Chamois Bar &amp; Grill</t>
    </r>
    <r>
      <rPr>
        <sz val="12"/>
        <color theme="1"/>
        <rFont val="新細明體"/>
        <family val="2"/>
        <charset val="136"/>
        <scheme val="minor"/>
      </rPr>
      <t xml:space="preserve">
16:00-22:00
</t>
    </r>
    <r>
      <rPr>
        <sz val="12"/>
        <color rgb="FF0000FF"/>
        <rFont val="新細明體"/>
        <family val="1"/>
        <charset val="136"/>
        <scheme val="minor"/>
      </rPr>
      <t>super market</t>
    </r>
    <phoneticPr fontId="1" type="noConversion"/>
  </si>
  <si>
    <t>D6</t>
    <phoneticPr fontId="1" type="noConversion"/>
  </si>
  <si>
    <t>NTD 15000/人</t>
    <phoneticPr fontId="1" type="noConversion"/>
  </si>
  <si>
    <t>Glacier Hiking 庫克山塔斯曼冰川直升機飛行 &amp; 徒步體驗</t>
    <phoneticPr fontId="1" type="noConversion"/>
  </si>
  <si>
    <t xml:space="preserve"> Hermitage Hotel buffet ?</t>
    <phoneticPr fontId="1" type="noConversion"/>
  </si>
  <si>
    <t>D7</t>
    <phoneticPr fontId="1" type="noConversion"/>
  </si>
  <si>
    <t>Queenstown</t>
    <phoneticPr fontId="1" type="noConversion"/>
  </si>
  <si>
    <r>
      <t xml:space="preserve">am
</t>
    </r>
    <r>
      <rPr>
        <b/>
        <sz val="12"/>
        <color rgb="FF0000FF"/>
        <rFont val="新細明體"/>
        <family val="1"/>
        <charset val="136"/>
        <scheme val="minor"/>
      </rPr>
      <t xml:space="preserve">Mt.Cook -&gt;  (~2.5hr)
</t>
    </r>
    <r>
      <rPr>
        <sz val="12"/>
        <color theme="1"/>
        <rFont val="新細明體"/>
        <family val="1"/>
        <charset val="136"/>
        <scheme val="minor"/>
      </rPr>
      <t xml:space="preserve">Wanaka Lakefront &amp; That Wanaka Tree (瓦納卡湖畔 &amp; 孤獨樹)
</t>
    </r>
    <r>
      <rPr>
        <sz val="12"/>
        <color theme="1"/>
        <rFont val="新細明體"/>
        <family val="2"/>
        <charset val="136"/>
        <scheme val="minor"/>
      </rPr>
      <t xml:space="preserve">
pm
Wanaka Lavender Farm
</t>
    </r>
    <r>
      <rPr>
        <b/>
        <sz val="12"/>
        <color rgb="FF0000FF"/>
        <rFont val="新細明體"/>
        <family val="1"/>
        <charset val="136"/>
        <scheme val="minor"/>
      </rPr>
      <t>Wanaka -&gt; Queenstown (~1hr)</t>
    </r>
    <r>
      <rPr>
        <sz val="12"/>
        <color theme="1"/>
        <rFont val="新細明體"/>
        <family val="2"/>
        <charset val="136"/>
        <scheme val="minor"/>
      </rPr>
      <t xml:space="preserve">
Cardrona Bra Fence / Bradrona (卡德羅納胸罩圍牆)
Crown Range Summit (皇冠山景觀台)
Crown Range Road Scenic Lookout (皇冠山脈公路觀景台)
Arrow Junction Lookout Point</t>
    </r>
    <phoneticPr fontId="1" type="noConversion"/>
  </si>
  <si>
    <t xml:space="preserve">High Country Salmon </t>
    <phoneticPr fontId="1" type="noConversion"/>
  </si>
  <si>
    <t xml:space="preserve">FERGBURGER
Devil Burger
Erik's Fish and Chips
Searle Lane Bar &amp; Rotisserie </t>
    <phoneticPr fontId="1" type="noConversion"/>
  </si>
  <si>
    <t>D8</t>
    <phoneticPr fontId="1" type="noConversion"/>
  </si>
  <si>
    <t>Queenstown</t>
  </si>
  <si>
    <t xml:space="preserve">am
deer park
pm
sky diving
Luge
Skyline Gondola &amp; Luge
wanaka
</t>
    <phoneticPr fontId="1" type="noConversion"/>
  </si>
  <si>
    <t>D9</t>
    <phoneticPr fontId="1" type="noConversion"/>
  </si>
  <si>
    <r>
      <rPr>
        <b/>
        <sz val="12"/>
        <color rgb="FF0000FF"/>
        <rFont val="新細明體"/>
        <family val="1"/>
        <charset val="136"/>
        <scheme val="minor"/>
      </rPr>
      <t>Queenstown -&gt; Glenorchy (~50min)</t>
    </r>
    <r>
      <rPr>
        <sz val="12"/>
        <color theme="1"/>
        <rFont val="新細明體"/>
        <family val="2"/>
        <charset val="136"/>
        <scheme val="minor"/>
      </rPr>
      <t xml:space="preserve">
Glenorchy (格萊諾基)
    Glenorchy Wharf (格萊諾基碼頭)
    High Country Horses (高地馬匹)
Glenorchy lookout-&gt; Glenorchy  Walkway-&gt; Glenorchy Wharf, Wilson Bay</t>
    </r>
    <r>
      <rPr>
        <sz val="12"/>
        <color theme="1"/>
        <rFont val="新細明體"/>
        <family val="1"/>
        <charset val="136"/>
        <scheme val="minor"/>
      </rPr>
      <t xml:space="preserve">
</t>
    </r>
    <phoneticPr fontId="1" type="noConversion"/>
  </si>
  <si>
    <t>D10</t>
    <phoneticPr fontId="1" type="noConversion"/>
  </si>
  <si>
    <t>Te anau</t>
    <phoneticPr fontId="1" type="noConversion"/>
  </si>
  <si>
    <r>
      <t xml:space="preserve">am
</t>
    </r>
    <r>
      <rPr>
        <b/>
        <sz val="12"/>
        <color rgb="FF0000FF"/>
        <rFont val="新細明體"/>
        <family val="1"/>
        <charset val="136"/>
        <scheme val="minor"/>
      </rPr>
      <t xml:space="preserve">Queenstown -&gt; Te anau (~2hr)
</t>
    </r>
    <r>
      <rPr>
        <sz val="12"/>
        <color theme="1"/>
        <rFont val="新細明體"/>
        <family val="1"/>
        <charset val="136"/>
        <scheme val="minor"/>
      </rPr>
      <t>Devil's Staircase Lookoutpoint
Wilderness Scientific Reserve (荒野保護區)
Alpine Centre Cafe &amp; Bar (高山中心咖啡廳)</t>
    </r>
    <r>
      <rPr>
        <sz val="12"/>
        <color theme="1"/>
        <rFont val="新細明體"/>
        <family val="2"/>
        <charset val="136"/>
        <scheme val="minor"/>
      </rPr>
      <t xml:space="preserve">
pm
Lake Te Anau (蒂阿瑙湖)
Te Anau Downtown (蒂阿瑙小鎮)
     Lions Park (獅子公園)
</t>
    </r>
    <phoneticPr fontId="1" type="noConversion"/>
  </si>
  <si>
    <r>
      <t xml:space="preserve">Miles Better Pie
Ristorante Pizzeria Paradiso 
</t>
    </r>
    <r>
      <rPr>
        <sz val="12"/>
        <color rgb="FF0000FF"/>
        <rFont val="新細明體"/>
        <family val="1"/>
        <charset val="136"/>
        <scheme val="minor"/>
      </rPr>
      <t>super market</t>
    </r>
    <phoneticPr fontId="1" type="noConversion"/>
  </si>
  <si>
    <t>D11</t>
    <phoneticPr fontId="1" type="noConversion"/>
  </si>
  <si>
    <r>
      <rPr>
        <b/>
        <sz val="12"/>
        <color rgb="FF0000FF"/>
        <rFont val="新細明體"/>
        <family val="1"/>
        <charset val="136"/>
        <scheme val="minor"/>
      </rPr>
      <t xml:space="preserve">Te anau -&gt; Milford Sound (~2hr)
</t>
    </r>
    <r>
      <rPr>
        <sz val="12"/>
        <color theme="1"/>
        <rFont val="新細明體"/>
        <family val="2"/>
        <charset val="136"/>
        <scheme val="minor"/>
      </rPr>
      <t>Eglinton Valley (埃格林頓峽谷)
Mirrow lake
Monkey Creek
Milford Sound
Milford Foreshore Walk (前灘步道)
GertrudeVally
pm
Hollyford Valley Lookout</t>
    </r>
    <phoneticPr fontId="1" type="noConversion"/>
  </si>
  <si>
    <t>D12</t>
    <phoneticPr fontId="1" type="noConversion"/>
  </si>
  <si>
    <t xml:space="preserve">am
Te anau -&gt; Queenstown -&gt;  (~2hr)
14:00 return retenal cars
</t>
    <phoneticPr fontId="1" type="noConversion"/>
  </si>
  <si>
    <t>D13</t>
    <phoneticPr fontId="1" type="noConversion"/>
  </si>
  <si>
    <t>Day</t>
    <phoneticPr fontId="1" type="noConversion"/>
  </si>
  <si>
    <t>Date</t>
  </si>
  <si>
    <t>From-To</t>
  </si>
  <si>
    <t>樂</t>
  </si>
  <si>
    <t>Living</t>
    <phoneticPr fontId="1" type="noConversion"/>
  </si>
  <si>
    <t>Hotel</t>
  </si>
  <si>
    <t>Travel Itinerary</t>
  </si>
  <si>
    <t>Thu</t>
    <phoneticPr fontId="1" type="noConversion"/>
  </si>
  <si>
    <t>Home-
Christchurch</t>
  </si>
  <si>
    <t>Fri</t>
  </si>
  <si>
    <t>Christchurch</t>
  </si>
  <si>
    <t>Carnmore Hagley Park</t>
    <phoneticPr fontId="1" type="noConversion"/>
  </si>
  <si>
    <t>pick up rental cars -&gt;  sunson asian food market</t>
    <phoneticPr fontId="1" type="noConversion"/>
  </si>
  <si>
    <r>
      <t>22 Riccarton Road, Riccarton, Christchurch 8011</t>
    </r>
    <r>
      <rPr>
        <sz val="10"/>
        <color theme="1"/>
        <rFont val="新細明體"/>
        <family val="2"/>
        <charset val="136"/>
      </rPr>
      <t>紐西蘭</t>
    </r>
    <phoneticPr fontId="1" type="noConversion"/>
  </si>
  <si>
    <t>Sat</t>
  </si>
  <si>
    <t>Christchurch-Tekapo</t>
    <phoneticPr fontId="1" type="noConversion"/>
  </si>
  <si>
    <t>The Lake House</t>
    <phoneticPr fontId="1" type="noConversion"/>
  </si>
  <si>
    <r>
      <t>Dress Smart -&gt;</t>
    </r>
    <r>
      <rPr>
        <sz val="9"/>
        <color rgb="FFFFC000"/>
        <rFont val="Arial"/>
        <family val="2"/>
      </rPr>
      <t xml:space="preserve"> Barker's Foodstore &amp; Eatery or Fairlie Bakehouse</t>
    </r>
    <r>
      <rPr>
        <sz val="9"/>
        <rFont val="Arial"/>
        <family val="2"/>
      </rPr>
      <t xml:space="preserve"> -&gt; Lake tekapo</t>
    </r>
    <phoneticPr fontId="1" type="noConversion"/>
  </si>
  <si>
    <t>Sun</t>
  </si>
  <si>
    <t xml:space="preserve">Mt. John Observatory  -&gt;  Astro Café -&gt; Church of the Good Shepherd </t>
    <phoneticPr fontId="1" type="noConversion"/>
  </si>
  <si>
    <t>Mon</t>
  </si>
  <si>
    <t>Tekapo-Mt Cook</t>
    <phoneticPr fontId="1" type="noConversion"/>
  </si>
  <si>
    <t>Hermitage Hotel</t>
    <phoneticPr fontId="1" type="noConversion"/>
  </si>
  <si>
    <t>Four Square (Twizel) -&gt; Tasman River -&gt; Hooker Valley Track</t>
    <phoneticPr fontId="1" type="noConversion"/>
  </si>
  <si>
    <t>Tue</t>
  </si>
  <si>
    <t>Mt Cook</t>
    <phoneticPr fontId="1" type="noConversion"/>
  </si>
  <si>
    <t>Glacier Hiking</t>
    <phoneticPr fontId="1" type="noConversion"/>
  </si>
  <si>
    <t>Wed</t>
  </si>
  <si>
    <t>Mt Cook-Queenstown</t>
    <phoneticPr fontId="1" type="noConversion"/>
  </si>
  <si>
    <t>Villa del Lago Lakeview</t>
    <phoneticPr fontId="1" type="noConversion"/>
  </si>
  <si>
    <t>High country salmon -&gt;  That Wanaka Tree -&gt; Wanaka Lavender Farm -&gt; Queenstown</t>
    <phoneticPr fontId="1" type="noConversion"/>
  </si>
  <si>
    <t>Thu</t>
  </si>
  <si>
    <t>Queenstowm</t>
    <phoneticPr fontId="1" type="noConversion"/>
  </si>
  <si>
    <t>deer park -&gt; sky diving &amp; luge</t>
    <phoneticPr fontId="1" type="noConversion"/>
  </si>
  <si>
    <t>High Country Horses (Glenorchy) or Glenorchy lookout-&gt; Glenorchy  Walkway-&gt; Glenorchy Wharf, Wilson Bay</t>
    <phoneticPr fontId="1" type="noConversion"/>
  </si>
  <si>
    <t>Queenstown-
TeAnau</t>
    <phoneticPr fontId="1" type="noConversion"/>
  </si>
  <si>
    <t>Classic kiwi</t>
    <phoneticPr fontId="1" type="noConversion"/>
  </si>
  <si>
    <t>Lake Te Anau</t>
    <phoneticPr fontId="1" type="noConversion"/>
  </si>
  <si>
    <t>TeAnau</t>
  </si>
  <si>
    <t xml:space="preserve">Milford Sound </t>
    <phoneticPr fontId="1" type="noConversion"/>
  </si>
  <si>
    <t>TeAnau-
Queenstown
-Auckland</t>
    <phoneticPr fontId="1" type="noConversion"/>
  </si>
  <si>
    <t>Manha Hotel</t>
    <phoneticPr fontId="1" type="noConversion"/>
  </si>
  <si>
    <t>luge</t>
    <phoneticPr fontId="1" type="noConversion"/>
  </si>
  <si>
    <t>Auckland-Home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</si>
</sst>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Malgun Gothic"/>
      <family val="2"/>
      <charset val="129"/>
    </font>
    <font>
      <b/>
      <sz val="12"/>
      <color theme="1"/>
      <name val="新細明體"/>
      <family val="1"/>
      <charset val="136"/>
      <scheme val="minor"/>
    </font>
    <font>
      <b/>
      <sz val="9"/>
      <color rgb="FFFFFFFF"/>
      <name val="Calibri"/>
      <family val="2"/>
    </font>
    <font>
      <sz val="9"/>
      <color rgb="FFFFFFFF"/>
      <name val="Arial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9"/>
      <color rgb="FF0000FF"/>
      <name val="Calibri"/>
      <family val="2"/>
    </font>
    <font>
      <sz val="9"/>
      <color rgb="FF0000FF"/>
      <name val="Arial"/>
      <family val="2"/>
    </font>
    <font>
      <sz val="9"/>
      <color rgb="FFFFC000"/>
      <name val="Arial"/>
      <family val="2"/>
    </font>
    <font>
      <sz val="9"/>
      <name val="Arial"/>
      <family val="2"/>
    </font>
    <font>
      <sz val="12"/>
      <color rgb="FF0000FF"/>
      <name val="新細明體"/>
      <family val="2"/>
      <charset val="136"/>
      <scheme val="minor"/>
    </font>
    <font>
      <sz val="12"/>
      <color rgb="FF0000FF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0"/>
      <color theme="1"/>
      <name val="新細明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0" fillId="0" borderId="0" xfId="0" quotePrefix="1" applyNumberForma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14" fontId="8" fillId="0" borderId="4" xfId="0" applyNumberFormat="1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6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2FED-FDA1-4FA0-B821-45BBEB0B53EB}">
  <dimension ref="A5:J23"/>
  <sheetViews>
    <sheetView tabSelected="1" zoomScale="70" zoomScaleNormal="70" workbookViewId="0">
      <selection activeCell="G14" sqref="G14"/>
    </sheetView>
  </sheetViews>
  <sheetFormatPr defaultRowHeight="17.100000000000001"/>
  <cols>
    <col min="2" max="2" width="14" customWidth="1"/>
    <col min="4" max="4" width="9.875" bestFit="1" customWidth="1"/>
    <col min="5" max="5" width="11.625" bestFit="1" customWidth="1"/>
    <col min="6" max="6" width="13.75" bestFit="1" customWidth="1"/>
    <col min="7" max="7" width="57.875" bestFit="1" customWidth="1"/>
    <col min="8" max="10" width="33.375" customWidth="1"/>
  </cols>
  <sheetData>
    <row r="5" spans="1:10">
      <c r="B5" t="s">
        <v>0</v>
      </c>
      <c r="I5" s="2"/>
      <c r="J5" s="2"/>
    </row>
    <row r="7" spans="1:10">
      <c r="C7" t="s">
        <v>1</v>
      </c>
      <c r="D7" t="s">
        <v>2</v>
      </c>
      <c r="E7" t="s">
        <v>3</v>
      </c>
      <c r="G7" t="s">
        <v>4</v>
      </c>
      <c r="H7" t="s">
        <v>5</v>
      </c>
      <c r="I7" t="s">
        <v>6</v>
      </c>
      <c r="J7" t="s">
        <v>7</v>
      </c>
    </row>
    <row r="8" spans="1:10">
      <c r="A8">
        <v>4</v>
      </c>
      <c r="B8" s="4">
        <v>45953</v>
      </c>
      <c r="C8" t="s">
        <v>8</v>
      </c>
      <c r="D8" s="1">
        <v>0.77083333333333337</v>
      </c>
      <c r="E8" t="s">
        <v>9</v>
      </c>
    </row>
    <row r="9" spans="1:10">
      <c r="A9">
        <v>5</v>
      </c>
      <c r="B9" s="4">
        <v>45954</v>
      </c>
      <c r="C9" t="s">
        <v>10</v>
      </c>
      <c r="D9" s="1">
        <v>0.42708333333333331</v>
      </c>
      <c r="E9" t="s">
        <v>11</v>
      </c>
    </row>
    <row r="10" spans="1:10" ht="102">
      <c r="B10" s="4"/>
      <c r="D10" s="1">
        <v>0.64236111111111116</v>
      </c>
      <c r="E10" t="s">
        <v>12</v>
      </c>
      <c r="G10" s="3" t="s">
        <v>13</v>
      </c>
      <c r="H10" s="7"/>
      <c r="I10" s="8"/>
      <c r="J10" s="3" t="s">
        <v>14</v>
      </c>
    </row>
    <row r="11" spans="1:10" ht="135.94999999999999">
      <c r="A11">
        <v>6</v>
      </c>
      <c r="B11" s="4">
        <v>45955</v>
      </c>
      <c r="C11" t="s">
        <v>15</v>
      </c>
      <c r="E11" s="3" t="s">
        <v>16</v>
      </c>
      <c r="G11" s="3" t="s">
        <v>17</v>
      </c>
      <c r="H11" s="21" t="s">
        <v>18</v>
      </c>
      <c r="I11" s="5" t="s">
        <v>19</v>
      </c>
      <c r="J11" s="21" t="s">
        <v>18</v>
      </c>
    </row>
    <row r="12" spans="1:10" ht="99.6" customHeight="1">
      <c r="A12">
        <v>7</v>
      </c>
      <c r="B12" s="4">
        <v>45956</v>
      </c>
      <c r="C12" t="s">
        <v>20</v>
      </c>
      <c r="E12" t="s">
        <v>16</v>
      </c>
      <c r="G12" s="3" t="s">
        <v>21</v>
      </c>
      <c r="H12" s="3" t="s">
        <v>22</v>
      </c>
      <c r="I12" s="6" t="s">
        <v>23</v>
      </c>
      <c r="J12" s="5" t="s">
        <v>24</v>
      </c>
    </row>
    <row r="13" spans="1:10" ht="174" customHeight="1">
      <c r="A13">
        <v>1</v>
      </c>
      <c r="B13" s="4">
        <v>45957</v>
      </c>
      <c r="C13" t="s">
        <v>25</v>
      </c>
      <c r="E13" s="3" t="s">
        <v>26</v>
      </c>
      <c r="G13" s="3" t="s">
        <v>27</v>
      </c>
      <c r="H13" s="21" t="s">
        <v>18</v>
      </c>
      <c r="I13" s="6" t="s">
        <v>28</v>
      </c>
      <c r="J13" s="5" t="s">
        <v>29</v>
      </c>
    </row>
    <row r="14" spans="1:10">
      <c r="A14">
        <v>2</v>
      </c>
      <c r="B14" s="4">
        <v>45958</v>
      </c>
      <c r="C14" t="s">
        <v>30</v>
      </c>
      <c r="E14" t="s">
        <v>26</v>
      </c>
      <c r="F14" t="s">
        <v>31</v>
      </c>
      <c r="G14" t="s">
        <v>32</v>
      </c>
      <c r="H14" s="21" t="s">
        <v>18</v>
      </c>
      <c r="I14" s="21" t="s">
        <v>18</v>
      </c>
      <c r="J14" t="s">
        <v>33</v>
      </c>
    </row>
    <row r="15" spans="1:10" ht="233.1" customHeight="1">
      <c r="A15">
        <v>3</v>
      </c>
      <c r="B15" s="4">
        <v>45959</v>
      </c>
      <c r="C15" t="s">
        <v>34</v>
      </c>
      <c r="E15" t="s">
        <v>35</v>
      </c>
      <c r="G15" s="3" t="s">
        <v>36</v>
      </c>
      <c r="H15" t="s">
        <v>33</v>
      </c>
      <c r="I15" s="22" t="s">
        <v>37</v>
      </c>
      <c r="J15" s="3" t="s">
        <v>38</v>
      </c>
    </row>
    <row r="16" spans="1:10" ht="180.75" customHeight="1">
      <c r="A16">
        <v>4</v>
      </c>
      <c r="B16" s="4">
        <v>45960</v>
      </c>
      <c r="C16" t="s">
        <v>39</v>
      </c>
      <c r="E16" t="s">
        <v>40</v>
      </c>
      <c r="G16" s="3" t="s">
        <v>41</v>
      </c>
      <c r="H16" s="21" t="s">
        <v>18</v>
      </c>
      <c r="I16" s="24" t="s">
        <v>38</v>
      </c>
      <c r="J16" s="24"/>
    </row>
    <row r="17" spans="1:10" ht="135.94999999999999">
      <c r="A17">
        <v>5</v>
      </c>
      <c r="B17" s="4">
        <v>45961</v>
      </c>
      <c r="C17" t="s">
        <v>42</v>
      </c>
      <c r="E17" t="s">
        <v>35</v>
      </c>
      <c r="G17" s="5" t="s">
        <v>43</v>
      </c>
      <c r="H17" s="21" t="s">
        <v>18</v>
      </c>
      <c r="I17" s="24"/>
      <c r="J17" s="24"/>
    </row>
    <row r="18" spans="1:10" ht="186.95">
      <c r="A18">
        <v>6</v>
      </c>
      <c r="B18" s="4">
        <v>45962</v>
      </c>
      <c r="C18" t="s">
        <v>44</v>
      </c>
      <c r="E18" t="s">
        <v>45</v>
      </c>
      <c r="G18" s="3" t="s">
        <v>46</v>
      </c>
      <c r="H18" s="21" t="s">
        <v>18</v>
      </c>
      <c r="I18" s="25" t="s">
        <v>47</v>
      </c>
      <c r="J18" s="25"/>
    </row>
    <row r="19" spans="1:10" ht="170.1">
      <c r="A19">
        <v>7</v>
      </c>
      <c r="B19" s="4">
        <v>45963</v>
      </c>
      <c r="C19" t="s">
        <v>48</v>
      </c>
      <c r="E19" t="s">
        <v>45</v>
      </c>
      <c r="G19" s="5" t="s">
        <v>49</v>
      </c>
      <c r="H19" s="21" t="s">
        <v>18</v>
      </c>
      <c r="I19" s="25"/>
      <c r="J19" s="25"/>
    </row>
    <row r="20" spans="1:10" ht="84.95">
      <c r="A20">
        <v>1</v>
      </c>
      <c r="B20" s="4">
        <v>45964</v>
      </c>
      <c r="C20" t="s">
        <v>50</v>
      </c>
      <c r="D20" s="1">
        <v>0.62847222222222221</v>
      </c>
      <c r="E20" t="s">
        <v>35</v>
      </c>
      <c r="G20" s="3" t="s">
        <v>51</v>
      </c>
      <c r="H20" s="21" t="s">
        <v>18</v>
      </c>
      <c r="I20" s="21" t="s">
        <v>18</v>
      </c>
      <c r="J20" s="21" t="s">
        <v>18</v>
      </c>
    </row>
    <row r="21" spans="1:10">
      <c r="B21" s="4"/>
      <c r="D21" s="1">
        <v>0.70486111111111116</v>
      </c>
      <c r="E21" t="s">
        <v>11</v>
      </c>
    </row>
    <row r="22" spans="1:10">
      <c r="A22">
        <v>2</v>
      </c>
      <c r="B22" s="4">
        <v>45965</v>
      </c>
      <c r="C22" t="s">
        <v>52</v>
      </c>
      <c r="D22" s="1">
        <v>0.44791666666666669</v>
      </c>
      <c r="E22" t="s">
        <v>11</v>
      </c>
    </row>
    <row r="23" spans="1:10">
      <c r="B23" s="4"/>
      <c r="D23" s="1"/>
    </row>
  </sheetData>
  <mergeCells count="2">
    <mergeCell ref="I16:J17"/>
    <mergeCell ref="I18:J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F084-C4DC-4EBE-8E4D-B881986882BD}">
  <dimension ref="A1:I14"/>
  <sheetViews>
    <sheetView zoomScale="85" zoomScaleNormal="85" workbookViewId="0">
      <selection activeCell="G11" sqref="G11"/>
    </sheetView>
  </sheetViews>
  <sheetFormatPr defaultRowHeight="17.100000000000001"/>
  <cols>
    <col min="1" max="1" width="4" bestFit="1" customWidth="1"/>
    <col min="2" max="2" width="9.125" bestFit="1" customWidth="1"/>
    <col min="4" max="4" width="13.875" customWidth="1"/>
    <col min="5" max="5" width="0" hidden="1" customWidth="1"/>
    <col min="6" max="6" width="7.125" hidden="1" customWidth="1"/>
    <col min="7" max="7" width="26.875" customWidth="1"/>
    <col min="8" max="8" width="70.5" customWidth="1"/>
    <col min="9" max="9" width="9.875" bestFit="1" customWidth="1"/>
  </cols>
  <sheetData>
    <row r="1" spans="1:9" ht="17.45" thickBot="1">
      <c r="A1" s="9" t="s">
        <v>53</v>
      </c>
      <c r="B1" s="26" t="s">
        <v>54</v>
      </c>
      <c r="C1" s="27"/>
      <c r="D1" s="10" t="s">
        <v>55</v>
      </c>
      <c r="E1" s="10" t="s">
        <v>56</v>
      </c>
      <c r="F1" s="10" t="s">
        <v>57</v>
      </c>
      <c r="G1" s="10" t="s">
        <v>58</v>
      </c>
      <c r="H1" s="11" t="s">
        <v>59</v>
      </c>
    </row>
    <row r="2" spans="1:9" ht="24.6" thickBot="1">
      <c r="A2" s="12">
        <v>1</v>
      </c>
      <c r="B2" s="20">
        <v>45953</v>
      </c>
      <c r="C2" s="13" t="s">
        <v>60</v>
      </c>
      <c r="D2" s="13" t="s">
        <v>61</v>
      </c>
      <c r="E2" s="14"/>
      <c r="F2" s="14"/>
      <c r="G2" s="13"/>
      <c r="H2" s="15"/>
    </row>
    <row r="3" spans="1:9" ht="17.45" thickBot="1">
      <c r="A3" s="12">
        <v>2</v>
      </c>
      <c r="B3" s="20">
        <v>45954</v>
      </c>
      <c r="C3" s="13" t="s">
        <v>62</v>
      </c>
      <c r="D3" s="13" t="s">
        <v>63</v>
      </c>
      <c r="E3" s="14"/>
      <c r="F3" s="14">
        <v>4707</v>
      </c>
      <c r="G3" s="14" t="s">
        <v>64</v>
      </c>
      <c r="H3" s="15" t="s">
        <v>65</v>
      </c>
      <c r="I3" s="23" t="s">
        <v>66</v>
      </c>
    </row>
    <row r="4" spans="1:9" ht="24.6" thickBot="1">
      <c r="A4" s="12">
        <v>3</v>
      </c>
      <c r="B4" s="20">
        <v>45955</v>
      </c>
      <c r="C4" s="13" t="s">
        <v>67</v>
      </c>
      <c r="D4" s="13" t="s">
        <v>68</v>
      </c>
      <c r="E4" s="14"/>
      <c r="F4" s="14">
        <f>26479/2</f>
        <v>13239.5</v>
      </c>
      <c r="G4" s="14" t="s">
        <v>69</v>
      </c>
      <c r="H4" s="16" t="s">
        <v>70</v>
      </c>
    </row>
    <row r="5" spans="1:9" ht="17.45" thickBot="1">
      <c r="A5" s="12">
        <v>4</v>
      </c>
      <c r="B5" s="20">
        <v>45956</v>
      </c>
      <c r="C5" s="13" t="s">
        <v>71</v>
      </c>
      <c r="D5" s="13" t="s">
        <v>16</v>
      </c>
      <c r="E5" s="14"/>
      <c r="F5" s="14">
        <f>26479/2</f>
        <v>13239.5</v>
      </c>
      <c r="G5" s="14" t="s">
        <v>69</v>
      </c>
      <c r="H5" s="15" t="s">
        <v>72</v>
      </c>
    </row>
    <row r="6" spans="1:9" ht="17.45" thickBot="1">
      <c r="A6" s="12">
        <v>5</v>
      </c>
      <c r="B6" s="20">
        <v>45957</v>
      </c>
      <c r="C6" s="13" t="s">
        <v>73</v>
      </c>
      <c r="D6" s="13" t="s">
        <v>74</v>
      </c>
      <c r="E6" s="17"/>
      <c r="F6" s="14">
        <f>48217/2</f>
        <v>24108.5</v>
      </c>
      <c r="G6" s="14" t="s">
        <v>75</v>
      </c>
      <c r="H6" s="15" t="s">
        <v>76</v>
      </c>
    </row>
    <row r="7" spans="1:9" ht="17.45" thickBot="1">
      <c r="A7" s="12">
        <v>6</v>
      </c>
      <c r="B7" s="20">
        <v>45958</v>
      </c>
      <c r="C7" s="13" t="s">
        <v>77</v>
      </c>
      <c r="D7" s="13" t="s">
        <v>78</v>
      </c>
      <c r="E7" s="14"/>
      <c r="F7" s="14">
        <f>48217/2</f>
        <v>24108.5</v>
      </c>
      <c r="G7" s="14" t="s">
        <v>75</v>
      </c>
      <c r="H7" s="15" t="s">
        <v>79</v>
      </c>
    </row>
    <row r="8" spans="1:9" ht="24.6" thickBot="1">
      <c r="A8" s="12">
        <v>7</v>
      </c>
      <c r="B8" s="20">
        <v>45959</v>
      </c>
      <c r="C8" s="13" t="s">
        <v>80</v>
      </c>
      <c r="D8" s="13" t="s">
        <v>81</v>
      </c>
      <c r="E8" s="14"/>
      <c r="F8" s="14">
        <f>29916/3</f>
        <v>9972</v>
      </c>
      <c r="G8" s="14" t="s">
        <v>82</v>
      </c>
      <c r="H8" s="15" t="s">
        <v>83</v>
      </c>
    </row>
    <row r="9" spans="1:9" ht="17.45" thickBot="1">
      <c r="A9" s="12">
        <v>8</v>
      </c>
      <c r="B9" s="20">
        <v>45960</v>
      </c>
      <c r="C9" s="13" t="s">
        <v>84</v>
      </c>
      <c r="D9" s="13" t="s">
        <v>85</v>
      </c>
      <c r="E9" s="14"/>
      <c r="F9" s="14">
        <f>29916/3</f>
        <v>9972</v>
      </c>
      <c r="G9" s="14" t="s">
        <v>82</v>
      </c>
      <c r="H9" s="15" t="s">
        <v>86</v>
      </c>
    </row>
    <row r="10" spans="1:9" ht="23.45" thickBot="1">
      <c r="A10" s="12">
        <v>9</v>
      </c>
      <c r="B10" s="20">
        <v>45961</v>
      </c>
      <c r="C10" s="13" t="s">
        <v>62</v>
      </c>
      <c r="D10" s="13" t="s">
        <v>85</v>
      </c>
      <c r="E10" s="18"/>
      <c r="F10" s="14">
        <f>29916/3</f>
        <v>9972</v>
      </c>
      <c r="G10" s="14" t="s">
        <v>82</v>
      </c>
      <c r="H10" s="15" t="s">
        <v>87</v>
      </c>
    </row>
    <row r="11" spans="1:9" ht="24.6" thickBot="1">
      <c r="A11" s="12">
        <v>10</v>
      </c>
      <c r="B11" s="20">
        <v>45962</v>
      </c>
      <c r="C11" s="13" t="s">
        <v>67</v>
      </c>
      <c r="D11" s="13" t="s">
        <v>88</v>
      </c>
      <c r="E11" s="17"/>
      <c r="F11" s="14">
        <f>11665/2</f>
        <v>5832.5</v>
      </c>
      <c r="G11" s="14" t="s">
        <v>89</v>
      </c>
      <c r="H11" s="15" t="s">
        <v>90</v>
      </c>
    </row>
    <row r="12" spans="1:9" ht="17.45" thickBot="1">
      <c r="A12" s="12">
        <v>11</v>
      </c>
      <c r="B12" s="20">
        <v>45963</v>
      </c>
      <c r="C12" s="13" t="s">
        <v>71</v>
      </c>
      <c r="D12" s="13" t="s">
        <v>91</v>
      </c>
      <c r="E12" s="18"/>
      <c r="F12" s="14">
        <f>11665/2</f>
        <v>5832.5</v>
      </c>
      <c r="G12" s="14" t="s">
        <v>89</v>
      </c>
      <c r="H12" s="15" t="s">
        <v>92</v>
      </c>
    </row>
    <row r="13" spans="1:9" ht="36.6" thickBot="1">
      <c r="A13" s="12">
        <v>12</v>
      </c>
      <c r="B13" s="20">
        <v>45964</v>
      </c>
      <c r="C13" s="13" t="s">
        <v>73</v>
      </c>
      <c r="D13" s="13" t="s">
        <v>93</v>
      </c>
      <c r="E13" s="18"/>
      <c r="F13" s="14">
        <v>7733</v>
      </c>
      <c r="G13" s="14" t="s">
        <v>94</v>
      </c>
      <c r="H13" s="15" t="s">
        <v>95</v>
      </c>
    </row>
    <row r="14" spans="1:9" ht="17.45" thickBot="1">
      <c r="A14" s="12">
        <v>13</v>
      </c>
      <c r="B14" s="20">
        <v>45965</v>
      </c>
      <c r="C14" s="13" t="s">
        <v>77</v>
      </c>
      <c r="D14" s="13" t="s">
        <v>96</v>
      </c>
      <c r="E14" s="14"/>
      <c r="F14" s="14"/>
      <c r="G14" s="13"/>
      <c r="H14" s="19"/>
    </row>
  </sheetData>
  <mergeCells count="1"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TingJung Chien</dc:creator>
  <cp:keywords/>
  <dc:description/>
  <cp:lastModifiedBy/>
  <cp:revision/>
  <dcterms:created xsi:type="dcterms:W3CDTF">2025-01-31T05:07:46Z</dcterms:created>
  <dcterms:modified xsi:type="dcterms:W3CDTF">2025-11-10T14:39:19Z</dcterms:modified>
  <cp:category/>
  <cp:contentStatus/>
</cp:coreProperties>
</file>